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816b67fd510b8c1c/Escritorio/2ndTerm/Health Informatics and Clinical Intelligence/Summative/"/>
    </mc:Choice>
  </mc:AlternateContent>
  <xr:revisionPtr revIDLastSave="0" documentId="8_{88A676A6-467A-4A52-B8F6-913CA77E34F0}" xr6:coauthVersionLast="47" xr6:coauthVersionMax="47" xr10:uidLastSave="{00000000-0000-0000-0000-000000000000}"/>
  <bookViews>
    <workbookView minimized="1" xWindow="2508" yWindow="2508" windowWidth="17280" windowHeight="8880" tabRatio="771" activeTab="1" xr2:uid="{00000000-000D-0000-FFFF-FFFF00000000}"/>
  </bookViews>
  <sheets>
    <sheet name="Sheet1" sheetId="75" r:id="rId1"/>
    <sheet name="Grafica 5 y 6 color" sheetId="66" r:id="rId2"/>
    <sheet name="Grafica 5 y 6 color sin relleno" sheetId="73" r:id="rId3"/>
    <sheet name="Grafica 5 y 6 color Blanco" sheetId="7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5" l="1"/>
  <c r="D36" i="74"/>
  <c r="D36" i="73"/>
  <c r="D36" i="66"/>
  <c r="C47" i="66"/>
  <c r="B56" i="74" l="1"/>
  <c r="E52" i="74"/>
  <c r="B51" i="74"/>
  <c r="C47" i="74"/>
  <c r="B46" i="74"/>
  <c r="E11" i="74"/>
  <c r="E13" i="74" s="1"/>
  <c r="B47" i="74" l="1"/>
  <c r="B38" i="74"/>
  <c r="B43" i="74"/>
  <c r="B48" i="74"/>
  <c r="B39" i="74"/>
  <c r="B44" i="74"/>
  <c r="B40" i="74"/>
  <c r="B42" i="74"/>
  <c r="B41" i="74"/>
  <c r="B56" i="73"/>
  <c r="E52" i="73"/>
  <c r="B51" i="73"/>
  <c r="C47" i="73"/>
  <c r="B42" i="73"/>
  <c r="E11" i="73"/>
  <c r="E13" i="73" s="1"/>
  <c r="B43" i="73" l="1"/>
  <c r="B39" i="73"/>
  <c r="B44" i="73"/>
  <c r="B47" i="73"/>
  <c r="B40" i="73"/>
  <c r="B48" i="73"/>
  <c r="B41" i="73"/>
  <c r="B46" i="73"/>
  <c r="B38" i="73"/>
  <c r="B47" i="66" l="1"/>
  <c r="B46" i="66"/>
  <c r="B43" i="66"/>
  <c r="B41" i="66"/>
  <c r="B42" i="66"/>
  <c r="B40" i="66"/>
  <c r="B44" i="66"/>
  <c r="B39" i="66"/>
  <c r="B38" i="66"/>
  <c r="B48" i="66"/>
  <c r="E11" i="66" l="1"/>
  <c r="E13" i="66" s="1"/>
</calcChain>
</file>

<file path=xl/sharedStrings.xml><?xml version="1.0" encoding="utf-8"?>
<sst xmlns="http://schemas.openxmlformats.org/spreadsheetml/2006/main" count="68" uniqueCount="25">
  <si>
    <t>50 y más</t>
  </si>
  <si>
    <t>Rep. Dominicana</t>
  </si>
  <si>
    <t>China</t>
  </si>
  <si>
    <t>Venezuela</t>
  </si>
  <si>
    <t>Nicaragua</t>
  </si>
  <si>
    <t>Colombia</t>
  </si>
  <si>
    <t>Panamá</t>
  </si>
  <si>
    <t xml:space="preserve">Menos de 20 </t>
  </si>
  <si>
    <t xml:space="preserve">20 a 24 </t>
  </si>
  <si>
    <t xml:space="preserve">25 a 29 </t>
  </si>
  <si>
    <t xml:space="preserve">30 a 34 </t>
  </si>
  <si>
    <t xml:space="preserve">35 a 39 </t>
  </si>
  <si>
    <t xml:space="preserve">40 a 44 </t>
  </si>
  <si>
    <t xml:space="preserve">45 a 49 </t>
  </si>
  <si>
    <t>NOTA: Se excluyen los porcentajes de nacimientos que corresponden a país de nacionalidad de la madre no especificada o no declarada.</t>
  </si>
  <si>
    <t>edad no especificada</t>
  </si>
  <si>
    <t>Extranjero no especificado</t>
  </si>
  <si>
    <t>No especificado o no declarado</t>
  </si>
  <si>
    <t>Total de extranjeros</t>
  </si>
  <si>
    <t>NOTA: Excluye el grupo de edad no especificada.</t>
  </si>
  <si>
    <t>total de nacimientos 2021</t>
  </si>
  <si>
    <t>total de nacimientos 2022</t>
  </si>
  <si>
    <t>Otros países</t>
  </si>
  <si>
    <t>YEAR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</si>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</sst>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/>
    <xf numFmtId="3" fontId="4" fillId="0" borderId="0" xfId="1" applyNumberFormat="1" applyFont="1"/>
    <xf numFmtId="0" fontId="5" fillId="0" borderId="0" xfId="0" applyFont="1"/>
    <xf numFmtId="1" fontId="5" fillId="0" borderId="0" xfId="0" applyNumberFormat="1" applyFont="1"/>
    <xf numFmtId="166" fontId="4" fillId="0" borderId="0" xfId="1" applyNumberFormat="1" applyFont="1"/>
    <xf numFmtId="166" fontId="2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</cellXfs>
  <cellStyles count="2">
    <cellStyle name="Normal" xfId="0" builtinId="0"/>
    <cellStyle name="Normal_BoletínCuadros13a19 2" xfId="1" xr:uid="{00000000-0005-0000-0000-000001000000}"/>
  </cellStyles>
  <dxfs count="0"/>
  <tableStyles count="0" defaultTableStyle="TableStyleMedium2" defaultPivotStyle="PivotStyleLight16"/>
  <colors>
    <mruColors>
      <color rgb="FFCCCCFF"/>
      <color rgb="FF9999FF"/>
      <color rgb="FFFFCCCC"/>
      <color rgb="FFCCECFF"/>
      <color rgb="FFFFCCFF"/>
      <color rgb="FF918F8F"/>
      <color rgb="FFC6C4C4"/>
      <color rgb="FF545454"/>
      <color rgb="FF343434"/>
      <color rgb="FFAAA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s-PA" sz="18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200"/>
              <a:t>NACIMIENTOS VIVOS EN LA REPÚBLICA, POR EDAD </a:t>
            </a:r>
          </a:p>
          <a:p>
            <a:pPr algn="ctr">
              <a:defRPr lang="es-PA"/>
            </a:pPr>
            <a:r>
              <a:rPr lang="en-US" sz="1200"/>
              <a:t>DE LA MADRE: AÑO 2022</a:t>
            </a:r>
          </a:p>
        </c:rich>
      </c:tx>
      <c:layout>
        <c:manualLayout>
          <c:xMode val="edge"/>
          <c:yMode val="edge"/>
          <c:x val="0.23931801908484907"/>
          <c:y val="2.1215860407256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s-PA" sz="18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view3D>
      <c:rotX val="15"/>
      <c:rotY val="20"/>
      <c:rAngAx val="1"/>
    </c:view3D>
    <c:floor>
      <c:thickness val="0"/>
      <c:spPr>
        <a:solidFill>
          <a:srgbClr val="CCECFF"/>
        </a:solidFill>
        <a:ln w="3175" cap="flat" cmpd="sng" algn="ctr">
          <a:solidFill>
            <a:schemeClr val="tx1"/>
          </a:solidFill>
          <a:prstDash val="solid"/>
          <a:round/>
        </a:ln>
        <a:effectLst/>
        <a:sp3d contourW="3175">
          <a:contourClr>
            <a:schemeClr val="tx1"/>
          </a:contourClr>
        </a:sp3d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61205295035261"/>
          <c:y val="0.17510170968164801"/>
          <c:w val="0.72849830531551474"/>
          <c:h val="0.6805764960052775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'Grafica 5 y 6 color'!$E$1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915328765722468E-2"/>
                  <c:y val="-8.99627546556680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C8-4039-BA1A-D6E727DDCB6E}"/>
                </c:ext>
              </c:extLst>
            </c:dLbl>
            <c:dLbl>
              <c:idx val="1"/>
              <c:layout>
                <c:manualLayout>
                  <c:x val="3.6472713638067969E-3"/>
                  <c:y val="-5.17295338082739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C8-4039-BA1A-D6E727DDCB6E}"/>
                </c:ext>
              </c:extLst>
            </c:dLbl>
            <c:dLbl>
              <c:idx val="2"/>
              <c:layout>
                <c:manualLayout>
                  <c:x val="4.1784776902887141E-3"/>
                  <c:y val="-1.1639145106861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C8-4039-BA1A-D6E727DDCB6E}"/>
                </c:ext>
              </c:extLst>
            </c:dLbl>
            <c:dLbl>
              <c:idx val="3"/>
              <c:layout>
                <c:manualLayout>
                  <c:x val="1.3096090261444592E-3"/>
                  <c:y val="-5.31333583302096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C8-4039-BA1A-D6E727DDCB6E}"/>
                </c:ext>
              </c:extLst>
            </c:dLbl>
            <c:dLbl>
              <c:idx val="4"/>
              <c:layout>
                <c:manualLayout>
                  <c:x val="3.811841701605481E-3"/>
                  <c:y val="-7.75943007124109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C8-4039-BA1A-D6E727DDCB6E}"/>
                </c:ext>
              </c:extLst>
            </c:dLbl>
            <c:dLbl>
              <c:idx val="5"/>
              <c:layout>
                <c:manualLayout>
                  <c:x val="1.4207314994716571E-4"/>
                  <c:y val="-9.98015248093988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C8-4039-BA1A-D6E727DDCB6E}"/>
                </c:ext>
              </c:extLst>
            </c:dLbl>
            <c:dLbl>
              <c:idx val="6"/>
              <c:layout>
                <c:manualLayout>
                  <c:x val="1.2520242139135124E-2"/>
                  <c:y val="-6.28321459817522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C8-4039-BA1A-D6E727DDCB6E}"/>
                </c:ext>
              </c:extLst>
            </c:dLbl>
            <c:dLbl>
              <c:idx val="7"/>
              <c:layout>
                <c:manualLayout>
                  <c:x val="1.4450917402423611E-2"/>
                  <c:y val="-3.37997750281219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C8-4039-BA1A-D6E727DDCB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'Grafica 5 y 6 color'!$D$2:$D$9</c:f>
              <c:strCache>
                <c:ptCount val="8"/>
                <c:pt idx="0">
                  <c:v>Menos de 20 </c:v>
                </c:pt>
                <c:pt idx="1">
                  <c:v>20 a 24 </c:v>
                </c:pt>
                <c:pt idx="2">
                  <c:v>25 a 29 </c:v>
                </c:pt>
                <c:pt idx="3">
                  <c:v>30 a 34 </c:v>
                </c:pt>
                <c:pt idx="4">
                  <c:v>35 a 39 </c:v>
                </c:pt>
                <c:pt idx="5">
                  <c:v>40 a 44 </c:v>
                </c:pt>
                <c:pt idx="6">
                  <c:v>45 a 49 </c:v>
                </c:pt>
                <c:pt idx="7">
                  <c:v>50 y más</c:v>
                </c:pt>
              </c:strCache>
            </c:strRef>
          </c:cat>
          <c:val>
            <c:numRef>
              <c:f>'Grafica 5 y 6 color'!$E$2:$E$9</c:f>
              <c:numCache>
                <c:formatCode>#,##0</c:formatCode>
                <c:ptCount val="8"/>
                <c:pt idx="0">
                  <c:v>9531</c:v>
                </c:pt>
                <c:pt idx="1">
                  <c:v>17580</c:v>
                </c:pt>
                <c:pt idx="2">
                  <c:v>15899</c:v>
                </c:pt>
                <c:pt idx="3">
                  <c:v>12000</c:v>
                </c:pt>
                <c:pt idx="4">
                  <c:v>6837</c:v>
                </c:pt>
                <c:pt idx="5">
                  <c:v>1893</c:v>
                </c:pt>
                <c:pt idx="6">
                  <c:v>132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C8-4039-BA1A-D6E727DDC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gapDepth val="238"/>
        <c:shape val="cylinder"/>
        <c:axId val="511200128"/>
        <c:axId val="511194640"/>
        <c:axId val="0"/>
      </c:bar3DChart>
      <c:catAx>
        <c:axId val="51120012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r>
                  <a:rPr lang="en-US" b="0"/>
                  <a:t>Edad de la madre</a:t>
                </a:r>
              </a:p>
            </c:rich>
          </c:tx>
          <c:layout>
            <c:manualLayout>
              <c:xMode val="edge"/>
              <c:yMode val="edge"/>
              <c:x val="4.5233608504818591E-2"/>
              <c:y val="0.14198989814876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s-PA" sz="1000" b="0" i="0" u="none" strike="noStrike" kern="1200" baseline="0">
                  <a:solidFill>
                    <a:schemeClr val="tx1"/>
                  </a:solidFill>
                  <a:latin typeface="Arial" pitchFamily="34" charset="0"/>
                  <a:ea typeface="+mn-ea"/>
                  <a:cs typeface="Arial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PA"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511194640"/>
        <c:crosses val="autoZero"/>
        <c:auto val="1"/>
        <c:lblAlgn val="ctr"/>
        <c:lblOffset val="100"/>
        <c:noMultiLvlLbl val="0"/>
      </c:catAx>
      <c:valAx>
        <c:axId val="511194640"/>
        <c:scaling>
          <c:orientation val="minMax"/>
          <c:max val="2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PA"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511200128"/>
        <c:crosses val="autoZero"/>
        <c:crossBetween val="between"/>
        <c:minorUnit val="500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ECFF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98425196850393704" l="0.74803149606299213" r="0.74803149606299213" t="0.98425196850393704" header="0.31496062992125984" footer="0.3149606299212598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44693512410045E-2"/>
          <c:y val="0.14893844709848153"/>
          <c:w val="0.88962912244665071"/>
          <c:h val="0.79234973535462794"/>
        </c:manualLayout>
      </c:layout>
      <c:ofPieChart>
        <c:ofPieType val="pie"/>
        <c:varyColors val="1"/>
        <c:ser>
          <c:idx val="0"/>
          <c:order val="0"/>
          <c:spPr>
            <a:ln w="9525"/>
            <a:scene3d>
              <a:camera prst="orthographicFront"/>
              <a:lightRig rig="threePt" dir="t"/>
            </a:scene3d>
            <a:sp3d>
              <a:bevelT w="152400" h="50800" prst="softRound"/>
            </a:sp3d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1-E3C0-4B00-9D3E-13DF04C1982C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9525"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3-E3C0-4B00-9D3E-13DF04C1982C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9525"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5-E3C0-4B00-9D3E-13DF04C1982C}"/>
              </c:ext>
            </c:extLst>
          </c:dPt>
          <c:dPt>
            <c:idx val="3"/>
            <c:bubble3D val="0"/>
            <c:spPr>
              <a:solidFill>
                <a:srgbClr val="FFCCFF"/>
              </a:solidFill>
              <a:ln w="9525"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7-E3C0-4B00-9D3E-13DF04C1982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9525"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9-E3C0-4B00-9D3E-13DF04C1982C}"/>
              </c:ext>
            </c:extLst>
          </c:dPt>
          <c:dPt>
            <c:idx val="5"/>
            <c:bubble3D val="0"/>
            <c:spPr>
              <a:solidFill>
                <a:srgbClr val="9999FF"/>
              </a:solidFill>
              <a:ln w="9525"/>
              <a:effectLst>
                <a:softEdge rad="63500"/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B-E3C0-4B00-9D3E-13DF04C1982C}"/>
              </c:ext>
            </c:extLst>
          </c:dPt>
          <c:dPt>
            <c:idx val="6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D-E3C0-4B00-9D3E-13DF04C1982C}"/>
              </c:ext>
            </c:extLst>
          </c:dPt>
          <c:dLbls>
            <c:dLbl>
              <c:idx val="1"/>
              <c:layout>
                <c:manualLayout>
                  <c:x val="-7.5338422595523716E-2"/>
                  <c:y val="-8.29806890303361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C0-4B00-9D3E-13DF04C1982C}"/>
                </c:ext>
              </c:extLst>
            </c:dLbl>
            <c:dLbl>
              <c:idx val="2"/>
              <c:layout>
                <c:manualLayout>
                  <c:x val="-5.1242800494919073E-3"/>
                  <c:y val="-0.1403373724554963"/>
                </c:manualLayout>
              </c:layout>
              <c:tx>
                <c:rich>
                  <a:bodyPr/>
                  <a:lstStyle/>
                  <a:p>
                    <a:fld id="{EB96C878-E42A-4A42-B7C5-A48D98423796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1.4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3C0-4B00-9D3E-13DF04C1982C}"/>
                </c:ext>
              </c:extLst>
            </c:dLbl>
            <c:dLbl>
              <c:idx val="3"/>
              <c:layout>
                <c:manualLayout>
                  <c:x val="0.13021374234192773"/>
                  <c:y val="-9.9101097326671245E-2"/>
                </c:manualLayout>
              </c:layout>
              <c:tx>
                <c:rich>
                  <a:bodyPr/>
                  <a:lstStyle/>
                  <a:p>
                    <a:fld id="{4D564B8C-A522-4112-B17B-92D27D49068A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/>
                      <a:t>1.2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3C0-4B00-9D3E-13DF04C1982C}"/>
                </c:ext>
              </c:extLst>
            </c:dLbl>
            <c:dLbl>
              <c:idx val="4"/>
              <c:layout>
                <c:manualLayout>
                  <c:x val="0.12428551894799682"/>
                  <c:y val="0.1313149236627112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C0-4B00-9D3E-13DF04C1982C}"/>
                </c:ext>
              </c:extLst>
            </c:dLbl>
            <c:dLbl>
              <c:idx val="5"/>
              <c:layout>
                <c:manualLayout>
                  <c:x val="-0.12313666636651359"/>
                  <c:y val="0.1220418100134619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C0-4B00-9D3E-13DF04C1982C}"/>
                </c:ext>
              </c:extLst>
            </c:dLbl>
            <c:dLbl>
              <c:idx val="6"/>
              <c:layout>
                <c:manualLayout>
                  <c:x val="8.21771103262664E-2"/>
                  <c:y val="-7.7556234586316733E-2"/>
                </c:manualLayout>
              </c:layout>
              <c:tx>
                <c:rich>
                  <a:bodyPr/>
                  <a:lstStyle/>
                  <a:p>
                    <a:fld id="{DCF9E227-A46A-440B-BA37-5B1D53D8DEFE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93.6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E3C0-4B00-9D3E-13DF04C198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219553-7856-4672-A815-3D8E8B9BA4E2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6.3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E3C0-4B00-9D3E-13DF04C1982C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 5 y 6 color'!$A$38:$A$44</c:f>
              <c:strCache>
                <c:ptCount val="7"/>
                <c:pt idx="0">
                  <c:v>Rep. Dominicana</c:v>
                </c:pt>
                <c:pt idx="1">
                  <c:v>China</c:v>
                </c:pt>
                <c:pt idx="2">
                  <c:v>Otros países</c:v>
                </c:pt>
                <c:pt idx="3">
                  <c:v>Nicaragua</c:v>
                </c:pt>
                <c:pt idx="4">
                  <c:v>Colombia</c:v>
                </c:pt>
                <c:pt idx="5">
                  <c:v>Venezuela</c:v>
                </c:pt>
                <c:pt idx="6">
                  <c:v>Panamá</c:v>
                </c:pt>
              </c:strCache>
            </c:strRef>
          </c:cat>
          <c:val>
            <c:numRef>
              <c:f>'Grafica 5 y 6 color'!$B$38:$B$44</c:f>
              <c:numCache>
                <c:formatCode>0.0</c:formatCode>
                <c:ptCount val="7"/>
                <c:pt idx="0">
                  <c:v>0.22058823529411764</c:v>
                </c:pt>
                <c:pt idx="1">
                  <c:v>0.41301627033792243</c:v>
                </c:pt>
                <c:pt idx="2">
                  <c:v>1.4111389236545682</c:v>
                </c:pt>
                <c:pt idx="3">
                  <c:v>1.2140175219023779</c:v>
                </c:pt>
                <c:pt idx="4">
                  <c:v>1.4064455569461827</c:v>
                </c:pt>
                <c:pt idx="5">
                  <c:v>1.6802252816020027</c:v>
                </c:pt>
                <c:pt idx="6">
                  <c:v>93.556007509386731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3C0-4B00-9D3E-13DF04C198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32"/>
        <c:splitType val="percent"/>
        <c:splitPos val="10"/>
        <c:secondPieSize val="153"/>
        <c:serLines>
          <c:spPr>
            <a:ln w="9525"/>
          </c:spPr>
        </c:serLines>
      </c:ofPieChart>
      <c:spPr>
        <a:solidFill>
          <a:srgbClr val="CCECFF"/>
        </a:solidFill>
      </c:spPr>
    </c:plotArea>
    <c:plotVisOnly val="1"/>
    <c:dispBlanksAs val="zero"/>
    <c:showDLblsOverMax val="0"/>
  </c:chart>
  <c:spPr>
    <a:solidFill>
      <a:srgbClr val="CCECFF"/>
    </a:solidFill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98425196850393704" l="0.74803149606299213" r="0.74803149606299213" t="0.98425196850393704" header="0.31496062992125984" footer="0.31496062992125984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s-PA" sz="18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200"/>
              <a:t>NACIMIENTOS VIVOS EN LA REPÚBLICA, POR EDAD </a:t>
            </a:r>
          </a:p>
          <a:p>
            <a:pPr algn="ctr">
              <a:defRPr lang="es-PA"/>
            </a:pPr>
            <a:r>
              <a:rPr lang="en-US" sz="1200"/>
              <a:t>DE LA MADRE: AÑO 2022</a:t>
            </a:r>
          </a:p>
        </c:rich>
      </c:tx>
      <c:layout>
        <c:manualLayout>
          <c:xMode val="edge"/>
          <c:yMode val="edge"/>
          <c:x val="0.23931801908484907"/>
          <c:y val="2.1215860407256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s-PA" sz="18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view3D>
      <c:rotX val="15"/>
      <c:rotY val="20"/>
      <c:rAngAx val="1"/>
    </c:view3D>
    <c:floor>
      <c:thickness val="0"/>
      <c:spPr>
        <a:solidFill>
          <a:schemeClr val="bg2">
            <a:lumMod val="90000"/>
          </a:schemeClr>
        </a:solidFill>
        <a:ln w="3175" cap="flat" cmpd="sng" algn="ctr">
          <a:solidFill>
            <a:schemeClr val="tx1"/>
          </a:solidFill>
          <a:prstDash val="solid"/>
          <a:round/>
        </a:ln>
        <a:effectLst/>
        <a:sp3d contourW="3175">
          <a:contourClr>
            <a:schemeClr val="tx1"/>
          </a:contourClr>
        </a:sp3d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61205295035261"/>
          <c:y val="0.17510170968164801"/>
          <c:w val="0.75572898330507565"/>
          <c:h val="0.6805764960052775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'Grafica 5 y 6 color sin relleno'!$E$1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8498508705907837E-3"/>
                  <c:y val="-8.99630135343459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295549958018471E-2"/>
                      <c:h val="3.49175522154367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2BC-41D7-BD9A-E5029AD75D20}"/>
                </c:ext>
              </c:extLst>
            </c:dLbl>
            <c:dLbl>
              <c:idx val="1"/>
              <c:layout>
                <c:manualLayout>
                  <c:x val="2.096322737439113E-2"/>
                  <c:y val="-5.17295338082739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BC-41D7-BD9A-E5029AD75D20}"/>
                </c:ext>
              </c:extLst>
            </c:dLbl>
            <c:dLbl>
              <c:idx val="2"/>
              <c:layout>
                <c:manualLayout>
                  <c:x val="-1.0163496565448211E-3"/>
                  <c:y val="-1.1639184071812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785894206549108E-2"/>
                      <c:h val="3.49175522154367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2BC-41D7-BD9A-E5029AD75D20}"/>
                </c:ext>
              </c:extLst>
            </c:dLbl>
            <c:dLbl>
              <c:idx val="3"/>
              <c:layout>
                <c:manualLayout>
                  <c:x val="6.5043847701506839E-3"/>
                  <c:y val="-5.31343582052243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465155331654077E-2"/>
                      <c:h val="3.23310668661451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2BC-41D7-BD9A-E5029AD75D20}"/>
                </c:ext>
              </c:extLst>
            </c:dLbl>
            <c:dLbl>
              <c:idx val="4"/>
              <c:layout>
                <c:manualLayout>
                  <c:x val="1.0738279881261694E-2"/>
                  <c:y val="-7.75945604787482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BC-41D7-BD9A-E5029AD75D20}"/>
                </c:ext>
              </c:extLst>
            </c:dLbl>
            <c:dLbl>
              <c:idx val="5"/>
              <c:layout>
                <c:manualLayout>
                  <c:x val="7.0685370224083761E-3"/>
                  <c:y val="-9.98015922301157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BC-41D7-BD9A-E5029AD75D20}"/>
                </c:ext>
              </c:extLst>
            </c:dLbl>
            <c:dLbl>
              <c:idx val="6"/>
              <c:layout>
                <c:manualLayout>
                  <c:x val="-2.7970935573267109E-3"/>
                  <c:y val="-6.28327656337841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396862452765889E-2"/>
                      <c:h val="4.95831004164812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2BC-41D7-BD9A-E5029AD75D20}"/>
                </c:ext>
              </c:extLst>
            </c:dLbl>
            <c:dLbl>
              <c:idx val="7"/>
              <c:layout>
                <c:manualLayout>
                  <c:x val="5.9412975205751627E-3"/>
                  <c:y val="-8.45931429013119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066874114715054E-2"/>
                      <c:h val="3.50564598418144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2BC-41D7-BD9A-E5029AD75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'Grafica 5 y 6 color sin relleno'!$D$2:$D$9</c:f>
              <c:strCache>
                <c:ptCount val="8"/>
                <c:pt idx="0">
                  <c:v>Menos de 20 </c:v>
                </c:pt>
                <c:pt idx="1">
                  <c:v>20 a 24 </c:v>
                </c:pt>
                <c:pt idx="2">
                  <c:v>25 a 29 </c:v>
                </c:pt>
                <c:pt idx="3">
                  <c:v>30 a 34 </c:v>
                </c:pt>
                <c:pt idx="4">
                  <c:v>35 a 39 </c:v>
                </c:pt>
                <c:pt idx="5">
                  <c:v>40 a 44 </c:v>
                </c:pt>
                <c:pt idx="6">
                  <c:v>45 a 49 </c:v>
                </c:pt>
                <c:pt idx="7">
                  <c:v>50 y más</c:v>
                </c:pt>
              </c:strCache>
            </c:strRef>
          </c:cat>
          <c:val>
            <c:numRef>
              <c:f>'Grafica 5 y 6 color sin relleno'!$E$2:$E$9</c:f>
              <c:numCache>
                <c:formatCode>#,##0</c:formatCode>
                <c:ptCount val="8"/>
                <c:pt idx="0">
                  <c:v>9531</c:v>
                </c:pt>
                <c:pt idx="1">
                  <c:v>17580</c:v>
                </c:pt>
                <c:pt idx="2">
                  <c:v>15899</c:v>
                </c:pt>
                <c:pt idx="3">
                  <c:v>12000</c:v>
                </c:pt>
                <c:pt idx="4">
                  <c:v>6837</c:v>
                </c:pt>
                <c:pt idx="5">
                  <c:v>1893</c:v>
                </c:pt>
                <c:pt idx="6">
                  <c:v>132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BC-41D7-BD9A-E5029AD75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gapDepth val="238"/>
        <c:shape val="cylinder"/>
        <c:axId val="447838560"/>
        <c:axId val="447839344"/>
        <c:axId val="0"/>
      </c:bar3DChart>
      <c:catAx>
        <c:axId val="447838560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r>
                  <a:rPr lang="en-US" b="0"/>
                  <a:t>Edad de la madre</a:t>
                </a:r>
              </a:p>
            </c:rich>
          </c:tx>
          <c:layout>
            <c:manualLayout>
              <c:xMode val="edge"/>
              <c:yMode val="edge"/>
              <c:x val="4.5233608504818591E-2"/>
              <c:y val="0.14198989814876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s-PA" sz="1000" b="0" i="0" u="none" strike="noStrike" kern="1200" baseline="0">
                  <a:solidFill>
                    <a:schemeClr val="tx1"/>
                  </a:solidFill>
                  <a:latin typeface="Arial" pitchFamily="34" charset="0"/>
                  <a:ea typeface="+mn-ea"/>
                  <a:cs typeface="Arial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PA"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447839344"/>
        <c:crosses val="autoZero"/>
        <c:auto val="1"/>
        <c:lblAlgn val="ctr"/>
        <c:lblOffset val="100"/>
        <c:noMultiLvlLbl val="0"/>
      </c:catAx>
      <c:valAx>
        <c:axId val="447839344"/>
        <c:scaling>
          <c:orientation val="minMax"/>
          <c:max val="2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r>
                  <a:rPr lang="es-ES" b="0"/>
                  <a:t>Nacimientos vivos</a:t>
                </a:r>
              </a:p>
            </c:rich>
          </c:tx>
          <c:layout>
            <c:manualLayout>
              <c:xMode val="edge"/>
              <c:yMode val="edge"/>
              <c:x val="0.41326216773238927"/>
              <c:y val="0.93997989465876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s-PA" sz="1000" b="0" i="0" u="none" strike="noStrike" kern="1200" baseline="0">
                  <a:solidFill>
                    <a:schemeClr val="tx1"/>
                  </a:solidFill>
                  <a:latin typeface="Arial" pitchFamily="34" charset="0"/>
                  <a:ea typeface="+mn-ea"/>
                  <a:cs typeface="Arial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PA"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447838560"/>
        <c:crosses val="autoZero"/>
        <c:crossBetween val="between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98425196850393704" l="0.74803149606299213" r="0.74803149606299213" t="0.98425196850393704" header="0.31496062992125984" footer="0.3149606299212598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44693512410045E-2"/>
          <c:y val="0.14893844709848153"/>
          <c:w val="0.88962912244665071"/>
          <c:h val="0.79234973535462794"/>
        </c:manualLayout>
      </c:layout>
      <c:ofPieChart>
        <c:ofPieType val="pie"/>
        <c:varyColors val="1"/>
        <c:ser>
          <c:idx val="0"/>
          <c:order val="0"/>
          <c:spPr>
            <a:solidFill>
              <a:srgbClr val="FFCCCC"/>
            </a:solidFill>
            <a:scene3d>
              <a:camera prst="orthographicFront"/>
              <a:lightRig rig="threePt" dir="t"/>
            </a:scene3d>
            <a:sp3d>
              <a:bevelT w="152400" h="50800" prst="softRound"/>
            </a:sp3d>
          </c:spPr>
          <c:dPt>
            <c:idx val="0"/>
            <c:bubble3D val="0"/>
            <c:spPr>
              <a:solidFill>
                <a:srgbClr val="FFCC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1-A29C-4318-A013-1F1D52174DA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3-A29C-4318-A013-1F1D52174DA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5-A29C-4318-A013-1F1D52174DAC}"/>
              </c:ext>
            </c:extLst>
          </c:dPt>
          <c:dPt>
            <c:idx val="3"/>
            <c:bubble3D val="0"/>
            <c:spPr>
              <a:solidFill>
                <a:srgbClr val="99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7-A29C-4318-A013-1F1D52174DAC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9-A29C-4318-A013-1F1D52174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63500"/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B-A29C-4318-A013-1F1D52174DAC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D-A29C-4318-A013-1F1D52174D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F-A29C-4318-A013-1F1D52174DAC}"/>
              </c:ext>
            </c:extLst>
          </c:dPt>
          <c:dLbls>
            <c:dLbl>
              <c:idx val="1"/>
              <c:layout>
                <c:manualLayout>
                  <c:x val="-7.5338422595523716E-2"/>
                  <c:y val="-8.29806890303361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9C-4318-A013-1F1D52174DAC}"/>
                </c:ext>
              </c:extLst>
            </c:dLbl>
            <c:dLbl>
              <c:idx val="2"/>
              <c:layout>
                <c:manualLayout>
                  <c:x val="-5.1242800494919073E-3"/>
                  <c:y val="-0.1403373724554963"/>
                </c:manualLayout>
              </c:layout>
              <c:tx>
                <c:rich>
                  <a:bodyPr/>
                  <a:lstStyle/>
                  <a:p>
                    <a:fld id="{EB96C878-E42A-4A42-B7C5-A48D98423796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1.4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29C-4318-A013-1F1D52174DAC}"/>
                </c:ext>
              </c:extLst>
            </c:dLbl>
            <c:dLbl>
              <c:idx val="3"/>
              <c:layout>
                <c:manualLayout>
                  <c:x val="0.13021374234192773"/>
                  <c:y val="-9.9101097326671245E-2"/>
                </c:manualLayout>
              </c:layout>
              <c:tx>
                <c:rich>
                  <a:bodyPr/>
                  <a:lstStyle/>
                  <a:p>
                    <a:fld id="{4D564B8C-A522-4112-B17B-92D27D49068A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/>
                      <a:t>1.2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29C-4318-A013-1F1D52174DAC}"/>
                </c:ext>
              </c:extLst>
            </c:dLbl>
            <c:dLbl>
              <c:idx val="4"/>
              <c:layout>
                <c:manualLayout>
                  <c:x val="0.12428551894799682"/>
                  <c:y val="0.1313149236627112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9C-4318-A013-1F1D52174DAC}"/>
                </c:ext>
              </c:extLst>
            </c:dLbl>
            <c:dLbl>
              <c:idx val="5"/>
              <c:layout>
                <c:manualLayout>
                  <c:x val="-0.12313666636651359"/>
                  <c:y val="0.1220418100134619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9C-4318-A013-1F1D52174DAC}"/>
                </c:ext>
              </c:extLst>
            </c:dLbl>
            <c:dLbl>
              <c:idx val="6"/>
              <c:layout>
                <c:manualLayout>
                  <c:x val="8.21771103262664E-2"/>
                  <c:y val="-7.7556234586316733E-2"/>
                </c:manualLayout>
              </c:layout>
              <c:tx>
                <c:rich>
                  <a:bodyPr/>
                  <a:lstStyle/>
                  <a:p>
                    <a:fld id="{8EF97F7C-3CA6-4F85-92F8-B926419FB4F7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93.6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A29C-4318-A013-1F1D52174DA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219553-7856-4672-A815-3D8E8B9BA4E2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6.3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A29C-4318-A013-1F1D52174D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 5 y 6 color sin relleno'!$A$38:$A$44</c:f>
              <c:strCache>
                <c:ptCount val="7"/>
                <c:pt idx="0">
                  <c:v>Rep. Dominicana</c:v>
                </c:pt>
                <c:pt idx="1">
                  <c:v>China</c:v>
                </c:pt>
                <c:pt idx="2">
                  <c:v>Otros países</c:v>
                </c:pt>
                <c:pt idx="3">
                  <c:v>Nicaragua</c:v>
                </c:pt>
                <c:pt idx="4">
                  <c:v>Colombia</c:v>
                </c:pt>
                <c:pt idx="5">
                  <c:v>Venezuela</c:v>
                </c:pt>
                <c:pt idx="6">
                  <c:v>Panamá</c:v>
                </c:pt>
              </c:strCache>
            </c:strRef>
          </c:cat>
          <c:val>
            <c:numRef>
              <c:f>'Grafica 5 y 6 color sin relleno'!$B$38:$B$44</c:f>
              <c:numCache>
                <c:formatCode>0.0</c:formatCode>
                <c:ptCount val="7"/>
                <c:pt idx="0">
                  <c:v>0.22058823529411764</c:v>
                </c:pt>
                <c:pt idx="1">
                  <c:v>0.41301627033792243</c:v>
                </c:pt>
                <c:pt idx="2">
                  <c:v>1.4111389236545682</c:v>
                </c:pt>
                <c:pt idx="3">
                  <c:v>1.2140175219023779</c:v>
                </c:pt>
                <c:pt idx="4">
                  <c:v>1.4064455569461827</c:v>
                </c:pt>
                <c:pt idx="5">
                  <c:v>1.6802252816020027</c:v>
                </c:pt>
                <c:pt idx="6">
                  <c:v>93.556007509386731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29C-4318-A013-1F1D52174D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32"/>
        <c:splitType val="percent"/>
        <c:splitPos val="10"/>
        <c:secondPieSize val="153"/>
        <c:ser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serLines>
      </c:ofPie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98425196850393704" l="0.74803149606299213" r="0.74803149606299213" t="0.98425196850393704" header="0.31496062992125984" footer="0.31496062992125984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s-PA" sz="18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200"/>
              <a:t>NACIMIENTOS VIVOS EN LA REPÚBLICA, POR EDAD </a:t>
            </a:r>
          </a:p>
          <a:p>
            <a:pPr algn="ctr">
              <a:defRPr lang="es-PA"/>
            </a:pPr>
            <a:r>
              <a:rPr lang="en-US" sz="1200"/>
              <a:t>DE LA MADRE: AÑO 2022</a:t>
            </a:r>
          </a:p>
        </c:rich>
      </c:tx>
      <c:layout>
        <c:manualLayout>
          <c:xMode val="edge"/>
          <c:yMode val="edge"/>
          <c:x val="0.23931801908484907"/>
          <c:y val="2.1215860407256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s-PA" sz="18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view3D>
      <c:rotX val="15"/>
      <c:rotY val="20"/>
      <c:rAngAx val="1"/>
    </c:view3D>
    <c:floor>
      <c:thickness val="0"/>
      <c:spPr>
        <a:solidFill>
          <a:schemeClr val="bg2">
            <a:lumMod val="90000"/>
          </a:schemeClr>
        </a:solidFill>
        <a:ln w="3175" cap="flat" cmpd="sng" algn="ctr">
          <a:solidFill>
            <a:schemeClr val="tx1"/>
          </a:solidFill>
          <a:prstDash val="solid"/>
          <a:round/>
        </a:ln>
        <a:effectLst/>
        <a:sp3d contourW="3175">
          <a:contourClr>
            <a:schemeClr val="tx1"/>
          </a:contourClr>
        </a:sp3d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61205295035261"/>
          <c:y val="0.17510170968164801"/>
          <c:w val="0.75572898330507565"/>
          <c:h val="0.6805764960052775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'Grafica 5 y 6 color Blanco'!$E$1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8498508705907837E-3"/>
                  <c:y val="-8.99630135343459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295549958018471E-2"/>
                      <c:h val="3.49175522154367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25A-4043-A1DA-4182949DA4C1}"/>
                </c:ext>
              </c:extLst>
            </c:dLbl>
            <c:dLbl>
              <c:idx val="1"/>
              <c:layout>
                <c:manualLayout>
                  <c:x val="2.096322737439113E-2"/>
                  <c:y val="-5.17295338082739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5A-4043-A1DA-4182949DA4C1}"/>
                </c:ext>
              </c:extLst>
            </c:dLbl>
            <c:dLbl>
              <c:idx val="2"/>
              <c:layout>
                <c:manualLayout>
                  <c:x val="-1.0163496565448211E-3"/>
                  <c:y val="-1.1639184071812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785894206549108E-2"/>
                      <c:h val="3.49175522154367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25A-4043-A1DA-4182949DA4C1}"/>
                </c:ext>
              </c:extLst>
            </c:dLbl>
            <c:dLbl>
              <c:idx val="3"/>
              <c:layout>
                <c:manualLayout>
                  <c:x val="6.5043847701506839E-3"/>
                  <c:y val="-5.31343582052243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465155331654077E-2"/>
                      <c:h val="3.23310668661451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25A-4043-A1DA-4182949DA4C1}"/>
                </c:ext>
              </c:extLst>
            </c:dLbl>
            <c:dLbl>
              <c:idx val="4"/>
              <c:layout>
                <c:manualLayout>
                  <c:x val="1.0738279881261694E-2"/>
                  <c:y val="-7.75945604787482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5A-4043-A1DA-4182949DA4C1}"/>
                </c:ext>
              </c:extLst>
            </c:dLbl>
            <c:dLbl>
              <c:idx val="5"/>
              <c:layout>
                <c:manualLayout>
                  <c:x val="7.0685370224083761E-3"/>
                  <c:y val="-9.98015922301157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5A-4043-A1DA-4182949DA4C1}"/>
                </c:ext>
              </c:extLst>
            </c:dLbl>
            <c:dLbl>
              <c:idx val="6"/>
              <c:layout>
                <c:manualLayout>
                  <c:x val="-2.7970935573267109E-3"/>
                  <c:y val="-6.28327656337841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396862452765889E-2"/>
                      <c:h val="4.95831004164812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25A-4043-A1DA-4182949DA4C1}"/>
                </c:ext>
              </c:extLst>
            </c:dLbl>
            <c:dLbl>
              <c:idx val="7"/>
              <c:layout>
                <c:manualLayout>
                  <c:x val="5.9412975205751627E-3"/>
                  <c:y val="-8.45931429013119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066874114715054E-2"/>
                      <c:h val="3.50564598418144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25A-4043-A1DA-4182949DA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'Grafica 5 y 6 color Blanco'!$D$2:$D$9</c:f>
              <c:strCache>
                <c:ptCount val="8"/>
                <c:pt idx="0">
                  <c:v>Menos de 20 </c:v>
                </c:pt>
                <c:pt idx="1">
                  <c:v>20 a 24 </c:v>
                </c:pt>
                <c:pt idx="2">
                  <c:v>25 a 29 </c:v>
                </c:pt>
                <c:pt idx="3">
                  <c:v>30 a 34 </c:v>
                </c:pt>
                <c:pt idx="4">
                  <c:v>35 a 39 </c:v>
                </c:pt>
                <c:pt idx="5">
                  <c:v>40 a 44 </c:v>
                </c:pt>
                <c:pt idx="6">
                  <c:v>45 a 49 </c:v>
                </c:pt>
                <c:pt idx="7">
                  <c:v>50 y más</c:v>
                </c:pt>
              </c:strCache>
            </c:strRef>
          </c:cat>
          <c:val>
            <c:numRef>
              <c:f>'Grafica 5 y 6 color Blanco'!$E$2:$E$9</c:f>
              <c:numCache>
                <c:formatCode>#,##0</c:formatCode>
                <c:ptCount val="8"/>
                <c:pt idx="0">
                  <c:v>9531</c:v>
                </c:pt>
                <c:pt idx="1">
                  <c:v>17580</c:v>
                </c:pt>
                <c:pt idx="2">
                  <c:v>15899</c:v>
                </c:pt>
                <c:pt idx="3">
                  <c:v>12000</c:v>
                </c:pt>
                <c:pt idx="4">
                  <c:v>6837</c:v>
                </c:pt>
                <c:pt idx="5">
                  <c:v>1893</c:v>
                </c:pt>
                <c:pt idx="6">
                  <c:v>132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5A-4043-A1DA-4182949DA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gapDepth val="238"/>
        <c:shape val="cylinder"/>
        <c:axId val="510397240"/>
        <c:axId val="510398808"/>
        <c:axId val="0"/>
      </c:bar3DChart>
      <c:catAx>
        <c:axId val="510397240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r>
                  <a:rPr lang="en-US" b="0"/>
                  <a:t>Edad de la madre</a:t>
                </a:r>
              </a:p>
            </c:rich>
          </c:tx>
          <c:layout>
            <c:manualLayout>
              <c:xMode val="edge"/>
              <c:yMode val="edge"/>
              <c:x val="4.5233608504818591E-2"/>
              <c:y val="0.14198989814876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s-PA" sz="1000" b="0" i="0" u="none" strike="noStrike" kern="1200" baseline="0">
                  <a:solidFill>
                    <a:schemeClr val="tx1"/>
                  </a:solidFill>
                  <a:latin typeface="Arial" pitchFamily="34" charset="0"/>
                  <a:ea typeface="+mn-ea"/>
                  <a:cs typeface="Arial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PA"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510398808"/>
        <c:crosses val="autoZero"/>
        <c:auto val="1"/>
        <c:lblAlgn val="ctr"/>
        <c:lblOffset val="100"/>
        <c:noMultiLvlLbl val="0"/>
      </c:catAx>
      <c:valAx>
        <c:axId val="510398808"/>
        <c:scaling>
          <c:orientation val="minMax"/>
          <c:max val="2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s-PA"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r>
                  <a:rPr lang="es-ES" b="0"/>
                  <a:t>Nacimientos vivos</a:t>
                </a:r>
              </a:p>
            </c:rich>
          </c:tx>
          <c:layout>
            <c:manualLayout>
              <c:xMode val="edge"/>
              <c:yMode val="edge"/>
              <c:x val="0.41326216773238927"/>
              <c:y val="0.93997989465876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s-PA" sz="1000" b="0" i="0" u="none" strike="noStrike" kern="1200" baseline="0">
                  <a:solidFill>
                    <a:schemeClr val="tx1"/>
                  </a:solidFill>
                  <a:latin typeface="Arial" pitchFamily="34" charset="0"/>
                  <a:ea typeface="+mn-ea"/>
                  <a:cs typeface="Arial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PA"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510397240"/>
        <c:crosses val="autoZero"/>
        <c:crossBetween val="between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98425196850393704" l="0.74803149606299213" r="0.74803149606299213" t="0.98425196850393704" header="0.31496062992125984" footer="0.31496062992125984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44693512410045E-2"/>
          <c:y val="0.14893844709848153"/>
          <c:w val="0.88962912244665071"/>
          <c:h val="0.79234973535462794"/>
        </c:manualLayout>
      </c:layout>
      <c:ofPieChart>
        <c:ofPieType val="pie"/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52400" h="50800" prst="softRound"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1-F89F-479C-A217-23E8799DAE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3-F89F-479C-A217-23E8799DAE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5-F89F-479C-A217-23E8799DAE0B}"/>
              </c:ext>
            </c:extLst>
          </c:dPt>
          <c:dPt>
            <c:idx val="3"/>
            <c:bubble3D val="0"/>
            <c:spPr>
              <a:solidFill>
                <a:srgbClr val="918F8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7-F89F-479C-A217-23E8799DAE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dk1">
                      <a:tint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9-F89F-479C-A217-23E8799DAE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dk1">
                      <a:tint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softEdge rad="63500"/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B-F89F-479C-A217-23E8799DAE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dk1">
                      <a:tint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D-F89F-479C-A217-23E8799DAE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F-F89F-479C-A217-23E8799DAE0B}"/>
              </c:ext>
            </c:extLst>
          </c:dPt>
          <c:dLbls>
            <c:dLbl>
              <c:idx val="1"/>
              <c:layout>
                <c:manualLayout>
                  <c:x val="-7.5338422595523716E-2"/>
                  <c:y val="-8.29806890303361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9F-479C-A217-23E8799DAE0B}"/>
                </c:ext>
              </c:extLst>
            </c:dLbl>
            <c:dLbl>
              <c:idx val="2"/>
              <c:layout>
                <c:manualLayout>
                  <c:x val="-5.1242800494919073E-3"/>
                  <c:y val="-0.1403373724554963"/>
                </c:manualLayout>
              </c:layout>
              <c:tx>
                <c:rich>
                  <a:bodyPr/>
                  <a:lstStyle/>
                  <a:p>
                    <a:fld id="{EB96C878-E42A-4A42-B7C5-A48D98423796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1.4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89F-479C-A217-23E8799DAE0B}"/>
                </c:ext>
              </c:extLst>
            </c:dLbl>
            <c:dLbl>
              <c:idx val="3"/>
              <c:layout>
                <c:manualLayout>
                  <c:x val="0.13021374234192773"/>
                  <c:y val="-9.9101097326671245E-2"/>
                </c:manualLayout>
              </c:layout>
              <c:tx>
                <c:rich>
                  <a:bodyPr/>
                  <a:lstStyle/>
                  <a:p>
                    <a:fld id="{4D564B8C-A522-4112-B17B-92D27D49068A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/>
                      <a:t>1.2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89F-479C-A217-23E8799DAE0B}"/>
                </c:ext>
              </c:extLst>
            </c:dLbl>
            <c:dLbl>
              <c:idx val="4"/>
              <c:layout>
                <c:manualLayout>
                  <c:x val="0.12428551894799682"/>
                  <c:y val="0.1313149236627112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9F-479C-A217-23E8799DAE0B}"/>
                </c:ext>
              </c:extLst>
            </c:dLbl>
            <c:dLbl>
              <c:idx val="5"/>
              <c:layout>
                <c:manualLayout>
                  <c:x val="-0.12313666636651359"/>
                  <c:y val="0.1220418100134619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9F-479C-A217-23E8799DAE0B}"/>
                </c:ext>
              </c:extLst>
            </c:dLbl>
            <c:dLbl>
              <c:idx val="6"/>
              <c:layout>
                <c:manualLayout>
                  <c:x val="8.21771103262664E-2"/>
                  <c:y val="-7.7556234586316733E-2"/>
                </c:manualLayout>
              </c:layout>
              <c:tx>
                <c:rich>
                  <a:bodyPr/>
                  <a:lstStyle/>
                  <a:p>
                    <a:fld id="{0E3DC870-0119-4013-B795-F41D9419522D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93.6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F89F-479C-A217-23E8799DAE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219553-7856-4672-A815-3D8E8B9BA4E2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6.3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F89F-479C-A217-23E8799DAE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 5 y 6 color Blanco'!$A$38:$A$44</c:f>
              <c:strCache>
                <c:ptCount val="7"/>
                <c:pt idx="0">
                  <c:v>Rep. Dominicana</c:v>
                </c:pt>
                <c:pt idx="1">
                  <c:v>China</c:v>
                </c:pt>
                <c:pt idx="2">
                  <c:v>Otros países</c:v>
                </c:pt>
                <c:pt idx="3">
                  <c:v>Nicaragua</c:v>
                </c:pt>
                <c:pt idx="4">
                  <c:v>Colombia</c:v>
                </c:pt>
                <c:pt idx="5">
                  <c:v>Venezuela</c:v>
                </c:pt>
                <c:pt idx="6">
                  <c:v>Panamá</c:v>
                </c:pt>
              </c:strCache>
            </c:strRef>
          </c:cat>
          <c:val>
            <c:numRef>
              <c:f>'Grafica 5 y 6 color Blanco'!$B$38:$B$44</c:f>
              <c:numCache>
                <c:formatCode>0.0</c:formatCode>
                <c:ptCount val="7"/>
                <c:pt idx="0">
                  <c:v>0.22058823529411764</c:v>
                </c:pt>
                <c:pt idx="1">
                  <c:v>0.41301627033792243</c:v>
                </c:pt>
                <c:pt idx="2">
                  <c:v>1.4111389236545682</c:v>
                </c:pt>
                <c:pt idx="3">
                  <c:v>1.2140175219023779</c:v>
                </c:pt>
                <c:pt idx="4">
                  <c:v>1.4064455569461827</c:v>
                </c:pt>
                <c:pt idx="5">
                  <c:v>1.6802252816020027</c:v>
                </c:pt>
                <c:pt idx="6">
                  <c:v>93.556007509386731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89F-479C-A217-23E8799DAE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32"/>
        <c:splitType val="percent"/>
        <c:splitPos val="10"/>
        <c:secondPieSize val="153"/>
        <c:ser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serLines>
      </c:ofPie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98425196850393704" l="0.74803149606299213" r="0.74803149606299213" t="0.98425196850393704" header="0.31496062992125984" footer="0.31496062992125984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2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3">
      <a:schemeClr val="dk1"/>
    </cs:effectRef>
    <cs:fontRef idx="minor">
      <a:schemeClr val="tx1"/>
    </cs:fontRef>
  </cs:dataPoint3D>
  <cs:dataPointLine>
    <cs:lnRef idx="1">
      <cs:styleClr val="auto"/>
    </cs:lnRef>
    <cs:lineWidthScale>7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3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3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2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3">
      <a:schemeClr val="dk1"/>
    </cs:effectRef>
    <cs:fontRef idx="minor">
      <a:schemeClr val="tx1"/>
    </cs:fontRef>
  </cs:dataPoint3D>
  <cs:dataPointLine>
    <cs:lnRef idx="1">
      <cs:styleClr val="auto"/>
    </cs:lnRef>
    <cs:lineWidthScale>7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3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3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704850</xdr:colOff>
      <xdr:row>30</xdr:row>
      <xdr:rowOff>142875</xdr:rowOff>
    </xdr:to>
    <xdr:graphicFrame macro="">
      <xdr:nvGraphicFramePr>
        <xdr:cNvPr id="2" name="9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2721</xdr:rowOff>
    </xdr:from>
    <xdr:to>
      <xdr:col>7</xdr:col>
      <xdr:colOff>684439</xdr:colOff>
      <xdr:row>62</xdr:row>
      <xdr:rowOff>153488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485775</xdr:colOff>
      <xdr:row>56</xdr:row>
      <xdr:rowOff>114300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86275" y="9166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0.13043</cdr:x>
      <cdr:y>0.06347</cdr:y>
    </cdr:from>
    <cdr:to>
      <cdr:x>0.8665</cdr:x>
      <cdr:y>0.16822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971514" y="323435"/>
          <a:ext cx="5482655" cy="533816"/>
        </a:xfrm>
        <a:prstGeom xmlns:a="http://schemas.openxmlformats.org/drawingml/2006/main" prst="rect">
          <a:avLst/>
        </a:prstGeom>
        <a:solidFill xmlns:a="http://schemas.openxmlformats.org/drawingml/2006/main">
          <a:srgbClr val="CCEC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ES" sz="1200" b="1">
              <a:latin typeface="Arial" pitchFamily="34" charset="0"/>
              <a:cs typeface="Arial" pitchFamily="34" charset="0"/>
            </a:rPr>
            <a:t>PORCENTAJE DE NACIMIENTOS</a:t>
          </a:r>
          <a:r>
            <a:rPr lang="es-ES" sz="1200" b="1" baseline="0">
              <a:latin typeface="Arial" pitchFamily="34" charset="0"/>
              <a:cs typeface="Arial" pitchFamily="34" charset="0"/>
            </a:rPr>
            <a:t> VIVOS EN LA REPÚBLICA, POR PAÍS DE NACIONALIDAD DE LA MADRE: AÑO 2022</a:t>
          </a:r>
          <a:endParaRPr lang="es-E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704849</xdr:colOff>
      <xdr:row>30</xdr:row>
      <xdr:rowOff>142875</xdr:rowOff>
    </xdr:to>
    <xdr:graphicFrame macro="">
      <xdr:nvGraphicFramePr>
        <xdr:cNvPr id="2" name="9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190500</xdr:rowOff>
    </xdr:from>
    <xdr:to>
      <xdr:col>9</xdr:col>
      <xdr:colOff>704850</xdr:colOff>
      <xdr:row>62</xdr:row>
      <xdr:rowOff>134779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485775</xdr:colOff>
      <xdr:row>56</xdr:row>
      <xdr:rowOff>114300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419600" y="92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0.13043</cdr:x>
      <cdr:y>0.06347</cdr:y>
    </cdr:from>
    <cdr:to>
      <cdr:x>0.8665</cdr:x>
      <cdr:y>0.16822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971514" y="323435"/>
          <a:ext cx="5482655" cy="5338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ES" sz="1200" b="1">
              <a:latin typeface="Arial" pitchFamily="34" charset="0"/>
              <a:cs typeface="Arial" pitchFamily="34" charset="0"/>
            </a:rPr>
            <a:t>PORCENTAJE DE NACIMIENTOS</a:t>
          </a:r>
          <a:r>
            <a:rPr lang="es-ES" sz="1200" b="1" baseline="0">
              <a:latin typeface="Arial" pitchFamily="34" charset="0"/>
              <a:cs typeface="Arial" pitchFamily="34" charset="0"/>
            </a:rPr>
            <a:t> VIVOS EN LA REPÚBLICA, POR PAÍS                                                                        DE NACIONALIDAD DE LA MADRE: AÑO 2022</a:t>
          </a:r>
          <a:endParaRPr lang="es-E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704849</xdr:colOff>
      <xdr:row>30</xdr:row>
      <xdr:rowOff>142875</xdr:rowOff>
    </xdr:to>
    <xdr:graphicFrame macro="">
      <xdr:nvGraphicFramePr>
        <xdr:cNvPr id="2" name="9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28575</xdr:rowOff>
    </xdr:from>
    <xdr:to>
      <xdr:col>9</xdr:col>
      <xdr:colOff>704850</xdr:colOff>
      <xdr:row>63</xdr:row>
      <xdr:rowOff>13335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485775</xdr:colOff>
      <xdr:row>56</xdr:row>
      <xdr:rowOff>114300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419600" y="92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0.13043</cdr:x>
      <cdr:y>0.06347</cdr:y>
    </cdr:from>
    <cdr:to>
      <cdr:x>0.8665</cdr:x>
      <cdr:y>0.16822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971514" y="323435"/>
          <a:ext cx="5482655" cy="53381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ES" sz="1200" b="1">
              <a:latin typeface="Arial" pitchFamily="34" charset="0"/>
              <a:cs typeface="Arial" pitchFamily="34" charset="0"/>
            </a:rPr>
            <a:t>PORCENTAJE DE NACIMIENTOS</a:t>
          </a:r>
          <a:r>
            <a:rPr lang="es-ES" sz="1200" b="1" baseline="0">
              <a:latin typeface="Arial" pitchFamily="34" charset="0"/>
              <a:cs typeface="Arial" pitchFamily="34" charset="0"/>
            </a:rPr>
            <a:t> VIVOS EN LA REPÚBLICA, POR PAÍS                                                                        DE NACIONALIDAD DE LA MADRE: AÑO 2022</a:t>
          </a:r>
          <a:endParaRPr lang="es-E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A816-5BA5-4A50-A0D9-F6766C730FA0}">
  <dimension ref="C3:D4"/>
  <sheetViews>
    <sheetView workbookViewId="0">
      <selection activeCell="F17" sqref="F17"/>
    </sheetView>
  </sheetViews>
  <sheetFormatPr defaultRowHeight="14.4" x14ac:dyDescent="0.3"/>
  <cols>
    <col min="4" max="4" width="10.109375" bestFit="1" customWidth="1"/>
  </cols>
  <sheetData>
    <row r="3" spans="3:4" x14ac:dyDescent="0.3">
      <c r="C3" s="5" t="s">
        <v>23</v>
      </c>
      <c r="D3" s="5" t="s">
        <v>24</v>
      </c>
    </row>
    <row r="4" spans="3:4" x14ac:dyDescent="0.3">
      <c r="C4" s="5">
        <v>2022</v>
      </c>
      <c r="D4" s="17">
        <f>9531*100/63920</f>
        <v>14.910826032540676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3" zoomScaleNormal="100" zoomScaleSheetLayoutView="100" workbookViewId="0">
      <selection activeCell="I29" sqref="I29:J30"/>
    </sheetView>
  </sheetViews>
  <sheetFormatPr defaultColWidth="11.5546875" defaultRowHeight="12.75" customHeight="1" x14ac:dyDescent="0.3"/>
  <cols>
    <col min="1" max="1" width="35.109375" customWidth="1"/>
    <col min="2" max="2" width="10.6640625" customWidth="1"/>
    <col min="3" max="3" width="8.109375" customWidth="1"/>
    <col min="4" max="4" width="13.33203125" customWidth="1"/>
    <col min="5" max="8" width="10.6640625" customWidth="1"/>
  </cols>
  <sheetData>
    <row r="1" spans="2:9" ht="12.75" customHeight="1" x14ac:dyDescent="0.3">
      <c r="E1" s="16">
        <v>2022</v>
      </c>
    </row>
    <row r="2" spans="2:9" ht="12.75" customHeight="1" x14ac:dyDescent="0.3">
      <c r="B2" s="2"/>
      <c r="D2" t="s">
        <v>7</v>
      </c>
      <c r="E2" s="2">
        <v>9531</v>
      </c>
    </row>
    <row r="3" spans="2:9" ht="12.75" customHeight="1" x14ac:dyDescent="0.3">
      <c r="B3" s="2"/>
      <c r="D3" t="s">
        <v>8</v>
      </c>
      <c r="E3" s="2">
        <v>17580</v>
      </c>
    </row>
    <row r="4" spans="2:9" ht="12.75" customHeight="1" x14ac:dyDescent="0.3">
      <c r="B4" s="2"/>
      <c r="D4" t="s">
        <v>9</v>
      </c>
      <c r="E4" s="2">
        <v>15899</v>
      </c>
    </row>
    <row r="5" spans="2:9" ht="12.75" customHeight="1" x14ac:dyDescent="0.3">
      <c r="B5" s="2"/>
      <c r="D5" t="s">
        <v>10</v>
      </c>
      <c r="E5" s="2">
        <v>12000</v>
      </c>
    </row>
    <row r="6" spans="2:9" ht="12.75" customHeight="1" x14ac:dyDescent="0.3">
      <c r="B6" s="2"/>
      <c r="D6" t="s">
        <v>11</v>
      </c>
      <c r="E6" s="2">
        <v>6837</v>
      </c>
    </row>
    <row r="7" spans="2:9" ht="12.75" customHeight="1" x14ac:dyDescent="0.3">
      <c r="B7" s="2"/>
      <c r="D7" t="s">
        <v>12</v>
      </c>
      <c r="E7" s="2">
        <v>1893</v>
      </c>
    </row>
    <row r="8" spans="2:9" ht="12.75" customHeight="1" x14ac:dyDescent="0.3">
      <c r="B8" s="2"/>
      <c r="D8" t="s">
        <v>13</v>
      </c>
      <c r="E8" s="2">
        <v>132</v>
      </c>
    </row>
    <row r="9" spans="2:9" ht="12.75" customHeight="1" x14ac:dyDescent="0.3">
      <c r="B9" s="2"/>
      <c r="D9" t="s">
        <v>0</v>
      </c>
      <c r="E9" s="2">
        <v>9</v>
      </c>
    </row>
    <row r="10" spans="2:9" ht="12.75" customHeight="1" x14ac:dyDescent="0.3">
      <c r="B10" s="2"/>
    </row>
    <row r="11" spans="2:9" ht="12.75" customHeight="1" x14ac:dyDescent="0.3">
      <c r="B11" s="2"/>
      <c r="E11" s="2">
        <f>SUM(E2:E10)</f>
        <v>63881</v>
      </c>
      <c r="F11" s="2"/>
    </row>
    <row r="12" spans="2:9" ht="12.75" customHeight="1" x14ac:dyDescent="0.3">
      <c r="B12" s="2"/>
      <c r="C12" s="18" t="s">
        <v>15</v>
      </c>
      <c r="D12" s="18"/>
      <c r="E12" s="2">
        <v>39</v>
      </c>
    </row>
    <row r="13" spans="2:9" ht="12.75" customHeight="1" x14ac:dyDescent="0.3">
      <c r="B13" s="2"/>
      <c r="E13" s="2">
        <f>SUM(E11:E12)</f>
        <v>63920</v>
      </c>
      <c r="F13" s="2"/>
      <c r="I13" s="3"/>
    </row>
    <row r="14" spans="2:9" ht="12.75" customHeight="1" x14ac:dyDescent="0.3">
      <c r="B14" s="2"/>
    </row>
    <row r="25" spans="1:1" ht="12.75" customHeight="1" x14ac:dyDescent="0.3">
      <c r="A25" s="1"/>
    </row>
    <row r="32" spans="1:1" s="7" customFormat="1" ht="16.2" customHeight="1" x14ac:dyDescent="0.3">
      <c r="A32" s="6" t="s">
        <v>19</v>
      </c>
    </row>
    <row r="36" spans="1:6" ht="12.75" customHeight="1" x14ac:dyDescent="0.3">
      <c r="A36" s="19" t="s">
        <v>21</v>
      </c>
      <c r="B36" s="19"/>
      <c r="C36" s="19"/>
      <c r="D36" s="5">
        <f>SUM(C38:C44,C48)+C46</f>
        <v>63920</v>
      </c>
    </row>
    <row r="37" spans="1:6" ht="12.75" customHeight="1" x14ac:dyDescent="0.3">
      <c r="F37" s="8"/>
    </row>
    <row r="38" spans="1:6" ht="12.75" customHeight="1" x14ac:dyDescent="0.3">
      <c r="A38" t="s">
        <v>1</v>
      </c>
      <c r="B38" s="3">
        <f>C38/$D$36*100</f>
        <v>0.22058823529411764</v>
      </c>
      <c r="C38">
        <v>141</v>
      </c>
      <c r="D38" s="10"/>
      <c r="F38" s="8"/>
    </row>
    <row r="39" spans="1:6" ht="12.75" customHeight="1" x14ac:dyDescent="0.3">
      <c r="A39" t="s">
        <v>2</v>
      </c>
      <c r="B39" s="3">
        <f t="shared" ref="B39:B44" si="0">C39/$D$36*100</f>
        <v>0.41301627033792243</v>
      </c>
      <c r="C39">
        <v>264</v>
      </c>
      <c r="D39" s="10"/>
      <c r="F39" s="8"/>
    </row>
    <row r="40" spans="1:6" ht="12.75" customHeight="1" x14ac:dyDescent="0.3">
      <c r="A40" t="s">
        <v>22</v>
      </c>
      <c r="B40" s="3">
        <f t="shared" si="0"/>
        <v>1.4111389236545682</v>
      </c>
      <c r="C40">
        <v>902</v>
      </c>
      <c r="D40" s="10"/>
      <c r="F40" s="3"/>
    </row>
    <row r="41" spans="1:6" ht="12.75" customHeight="1" x14ac:dyDescent="0.3">
      <c r="A41" t="s">
        <v>4</v>
      </c>
      <c r="B41" s="3">
        <f t="shared" si="0"/>
        <v>1.2140175219023779</v>
      </c>
      <c r="C41">
        <v>776</v>
      </c>
      <c r="D41" s="10"/>
      <c r="F41" s="8"/>
    </row>
    <row r="42" spans="1:6" ht="12.75" customHeight="1" x14ac:dyDescent="0.3">
      <c r="A42" t="s">
        <v>5</v>
      </c>
      <c r="B42" s="3">
        <f>C42/$D$36*100</f>
        <v>1.4064455569461827</v>
      </c>
      <c r="C42">
        <v>899</v>
      </c>
      <c r="D42" s="10"/>
      <c r="F42" s="8"/>
    </row>
    <row r="43" spans="1:6" ht="12.75" customHeight="1" x14ac:dyDescent="0.3">
      <c r="A43" t="s">
        <v>3</v>
      </c>
      <c r="B43" s="3">
        <f t="shared" si="0"/>
        <v>1.6802252816020027</v>
      </c>
      <c r="C43">
        <v>1074</v>
      </c>
      <c r="D43" s="10"/>
      <c r="F43" s="8"/>
    </row>
    <row r="44" spans="1:6" ht="12.75" customHeight="1" x14ac:dyDescent="0.3">
      <c r="A44" t="s">
        <v>6</v>
      </c>
      <c r="B44" s="3">
        <f t="shared" si="0"/>
        <v>93.556007509386731</v>
      </c>
      <c r="C44">
        <v>59801</v>
      </c>
      <c r="D44" s="11"/>
      <c r="F44" s="3"/>
    </row>
    <row r="45" spans="1:6" ht="12.75" customHeight="1" x14ac:dyDescent="0.3">
      <c r="B45" s="3"/>
      <c r="D45" s="4"/>
      <c r="F45" s="3"/>
    </row>
    <row r="46" spans="1:6" ht="12.75" customHeight="1" x14ac:dyDescent="0.3">
      <c r="A46" s="14" t="s">
        <v>16</v>
      </c>
      <c r="B46" s="15">
        <f>C46/$D$36*100</f>
        <v>3.9111389236545682E-2</v>
      </c>
      <c r="C46" s="14">
        <v>25</v>
      </c>
    </row>
    <row r="47" spans="1:6" ht="12.75" customHeight="1" x14ac:dyDescent="0.3">
      <c r="A47" t="s">
        <v>18</v>
      </c>
      <c r="B47" s="3">
        <f>C47/$D$36*100</f>
        <v>6.3454317897371713</v>
      </c>
      <c r="C47">
        <f>SUM(C38:C43)</f>
        <v>4056</v>
      </c>
    </row>
    <row r="48" spans="1:6" ht="12.75" customHeight="1" x14ac:dyDescent="0.3">
      <c r="A48" t="s">
        <v>17</v>
      </c>
      <c r="B48" s="3">
        <f>C48/$D$36*100</f>
        <v>5.9449311639549432E-2</v>
      </c>
      <c r="C48">
        <v>38</v>
      </c>
    </row>
    <row r="51" spans="1:2" ht="12.75" customHeight="1" x14ac:dyDescent="0.3">
      <c r="B51" s="13"/>
    </row>
    <row r="52" spans="1:2" ht="12.75" customHeight="1" x14ac:dyDescent="0.3">
      <c r="B52" s="9"/>
    </row>
    <row r="53" spans="1:2" ht="12.75" customHeight="1" x14ac:dyDescent="0.3">
      <c r="B53" s="9"/>
    </row>
    <row r="54" spans="1:2" ht="12.75" customHeight="1" x14ac:dyDescent="0.3">
      <c r="B54" s="9"/>
    </row>
    <row r="55" spans="1:2" ht="12.75" customHeight="1" x14ac:dyDescent="0.3">
      <c r="B55" s="12"/>
    </row>
    <row r="56" spans="1:2" ht="12.75" customHeight="1" x14ac:dyDescent="0.3">
      <c r="B56" s="12"/>
    </row>
    <row r="57" spans="1:2" ht="12.75" customHeight="1" x14ac:dyDescent="0.3">
      <c r="B57" s="9"/>
    </row>
    <row r="64" spans="1:2" s="7" customFormat="1" ht="17.399999999999999" customHeight="1" x14ac:dyDescent="0.3">
      <c r="A64" s="6" t="s">
        <v>14</v>
      </c>
    </row>
  </sheetData>
  <mergeCells count="2">
    <mergeCell ref="C12:D12"/>
    <mergeCell ref="A36:C36"/>
  </mergeCells>
  <printOptions horizontalCentered="1"/>
  <pageMargins left="0.74803149606299213" right="0.74803149606299213" top="0.98425196850393704" bottom="0.98425196850393704" header="0" footer="0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opLeftCell="A32" zoomScaleNormal="100" zoomScaleSheetLayoutView="100" workbookViewId="0">
      <selection activeCell="L29" sqref="L29"/>
    </sheetView>
  </sheetViews>
  <sheetFormatPr defaultColWidth="11.5546875" defaultRowHeight="12.75" customHeight="1" x14ac:dyDescent="0.3"/>
  <cols>
    <col min="1" max="1" width="16.109375" customWidth="1"/>
    <col min="2" max="2" width="10.6640625" customWidth="1"/>
    <col min="3" max="3" width="8.109375" customWidth="1"/>
    <col min="4" max="4" width="13.33203125" customWidth="1"/>
    <col min="5" max="10" width="10.6640625" customWidth="1"/>
  </cols>
  <sheetData>
    <row r="1" spans="2:11" ht="12.75" customHeight="1" x14ac:dyDescent="0.3">
      <c r="E1" s="16">
        <v>2022</v>
      </c>
    </row>
    <row r="2" spans="2:11" ht="12.75" customHeight="1" x14ac:dyDescent="0.3">
      <c r="B2" s="2"/>
      <c r="D2" t="s">
        <v>7</v>
      </c>
      <c r="E2" s="2">
        <v>9531</v>
      </c>
    </row>
    <row r="3" spans="2:11" ht="12.75" customHeight="1" x14ac:dyDescent="0.3">
      <c r="B3" s="2"/>
      <c r="D3" t="s">
        <v>8</v>
      </c>
      <c r="E3" s="2">
        <v>17580</v>
      </c>
    </row>
    <row r="4" spans="2:11" ht="12.75" customHeight="1" x14ac:dyDescent="0.3">
      <c r="B4" s="2"/>
      <c r="D4" t="s">
        <v>9</v>
      </c>
      <c r="E4" s="2">
        <v>15899</v>
      </c>
    </row>
    <row r="5" spans="2:11" ht="12.75" customHeight="1" x14ac:dyDescent="0.3">
      <c r="B5" s="2"/>
      <c r="D5" t="s">
        <v>10</v>
      </c>
      <c r="E5" s="2">
        <v>12000</v>
      </c>
    </row>
    <row r="6" spans="2:11" ht="12.75" customHeight="1" x14ac:dyDescent="0.3">
      <c r="B6" s="2"/>
      <c r="D6" t="s">
        <v>11</v>
      </c>
      <c r="E6" s="2">
        <v>6837</v>
      </c>
    </row>
    <row r="7" spans="2:11" ht="12.75" customHeight="1" x14ac:dyDescent="0.3">
      <c r="B7" s="2"/>
      <c r="D7" t="s">
        <v>12</v>
      </c>
      <c r="E7" s="2">
        <v>1893</v>
      </c>
    </row>
    <row r="8" spans="2:11" ht="12.75" customHeight="1" x14ac:dyDescent="0.3">
      <c r="B8" s="2"/>
      <c r="D8" t="s">
        <v>13</v>
      </c>
      <c r="E8" s="2">
        <v>132</v>
      </c>
    </row>
    <row r="9" spans="2:11" ht="12.75" customHeight="1" x14ac:dyDescent="0.3">
      <c r="B9" s="2"/>
      <c r="D9" t="s">
        <v>0</v>
      </c>
      <c r="E9" s="2">
        <v>9</v>
      </c>
    </row>
    <row r="10" spans="2:11" ht="12.75" customHeight="1" x14ac:dyDescent="0.3">
      <c r="B10" s="2"/>
    </row>
    <row r="11" spans="2:11" ht="12.75" customHeight="1" x14ac:dyDescent="0.3">
      <c r="B11" s="2"/>
      <c r="E11" s="2">
        <f>SUM(E2:E10)</f>
        <v>63881</v>
      </c>
      <c r="F11" s="2"/>
    </row>
    <row r="12" spans="2:11" ht="12.75" customHeight="1" x14ac:dyDescent="0.3">
      <c r="B12" s="2"/>
      <c r="C12" s="18" t="s">
        <v>15</v>
      </c>
      <c r="D12" s="18"/>
      <c r="E12" s="2">
        <v>39</v>
      </c>
    </row>
    <row r="13" spans="2:11" ht="12.75" customHeight="1" x14ac:dyDescent="0.3">
      <c r="B13" s="2"/>
      <c r="E13" s="2">
        <f>SUM(E11:E12)</f>
        <v>63920</v>
      </c>
      <c r="F13" s="2"/>
      <c r="K13" s="3"/>
    </row>
    <row r="14" spans="2:11" ht="12.75" customHeight="1" x14ac:dyDescent="0.3">
      <c r="B14" s="2"/>
    </row>
    <row r="25" spans="1:1" ht="12.75" customHeight="1" x14ac:dyDescent="0.3">
      <c r="A25" s="1"/>
    </row>
    <row r="32" spans="1:1" s="7" customFormat="1" ht="16.2" customHeight="1" x14ac:dyDescent="0.3">
      <c r="A32" s="6" t="s">
        <v>19</v>
      </c>
    </row>
    <row r="36" spans="1:7" ht="12.75" customHeight="1" x14ac:dyDescent="0.3">
      <c r="A36" s="19" t="s">
        <v>21</v>
      </c>
      <c r="B36" s="19"/>
      <c r="C36" s="19"/>
      <c r="D36" s="5">
        <f>SUM(C38:C44,C48)+C46</f>
        <v>63920</v>
      </c>
    </row>
    <row r="37" spans="1:7" ht="12.75" customHeight="1" x14ac:dyDescent="0.3">
      <c r="F37" s="8"/>
      <c r="G37" s="3"/>
    </row>
    <row r="38" spans="1:7" ht="12.75" customHeight="1" x14ac:dyDescent="0.3">
      <c r="A38" t="s">
        <v>1</v>
      </c>
      <c r="B38" s="3">
        <f>C38/$D$36*100</f>
        <v>0.22058823529411764</v>
      </c>
      <c r="C38">
        <v>141</v>
      </c>
      <c r="D38" s="10"/>
      <c r="F38" s="8"/>
    </row>
    <row r="39" spans="1:7" ht="12.75" customHeight="1" x14ac:dyDescent="0.3">
      <c r="A39" t="s">
        <v>2</v>
      </c>
      <c r="B39" s="3">
        <f t="shared" ref="B39:B44" si="0">C39/$D$36*100</f>
        <v>0.41301627033792243</v>
      </c>
      <c r="C39">
        <v>264</v>
      </c>
      <c r="D39" s="10"/>
      <c r="F39" s="8"/>
    </row>
    <row r="40" spans="1:7" ht="12.75" customHeight="1" x14ac:dyDescent="0.3">
      <c r="A40" t="s">
        <v>22</v>
      </c>
      <c r="B40" s="3">
        <f t="shared" si="0"/>
        <v>1.4111389236545682</v>
      </c>
      <c r="C40">
        <v>902</v>
      </c>
      <c r="D40" s="10"/>
      <c r="F40" s="3"/>
    </row>
    <row r="41" spans="1:7" ht="12.75" customHeight="1" x14ac:dyDescent="0.3">
      <c r="A41" t="s">
        <v>4</v>
      </c>
      <c r="B41" s="3">
        <f t="shared" si="0"/>
        <v>1.2140175219023779</v>
      </c>
      <c r="C41">
        <v>776</v>
      </c>
      <c r="D41" s="10"/>
      <c r="F41" s="8"/>
    </row>
    <row r="42" spans="1:7" ht="12.75" customHeight="1" x14ac:dyDescent="0.3">
      <c r="A42" t="s">
        <v>5</v>
      </c>
      <c r="B42" s="3">
        <f>C42/$D$36*100</f>
        <v>1.4064455569461827</v>
      </c>
      <c r="C42">
        <v>899</v>
      </c>
      <c r="D42" s="10"/>
      <c r="F42" s="8"/>
    </row>
    <row r="43" spans="1:7" ht="12.75" customHeight="1" x14ac:dyDescent="0.3">
      <c r="A43" t="s">
        <v>3</v>
      </c>
      <c r="B43" s="3">
        <f t="shared" si="0"/>
        <v>1.6802252816020027</v>
      </c>
      <c r="C43">
        <v>1074</v>
      </c>
      <c r="D43" s="10"/>
      <c r="F43" s="8"/>
    </row>
    <row r="44" spans="1:7" ht="12.75" customHeight="1" x14ac:dyDescent="0.3">
      <c r="A44" t="s">
        <v>6</v>
      </c>
      <c r="B44" s="3">
        <f t="shared" si="0"/>
        <v>93.556007509386731</v>
      </c>
      <c r="C44">
        <v>59801</v>
      </c>
      <c r="D44" s="11"/>
      <c r="F44" s="3"/>
    </row>
    <row r="45" spans="1:7" ht="12.75" customHeight="1" x14ac:dyDescent="0.3">
      <c r="B45" s="3"/>
      <c r="D45" s="4"/>
      <c r="F45" s="3"/>
    </row>
    <row r="46" spans="1:7" ht="12.75" customHeight="1" x14ac:dyDescent="0.3">
      <c r="A46" s="14" t="s">
        <v>16</v>
      </c>
      <c r="B46" s="15">
        <f>C46/$D$36*100</f>
        <v>3.9111389236545682E-2</v>
      </c>
      <c r="C46" s="14">
        <v>25</v>
      </c>
    </row>
    <row r="47" spans="1:7" ht="12.75" customHeight="1" x14ac:dyDescent="0.3">
      <c r="A47" t="s">
        <v>18</v>
      </c>
      <c r="B47" s="3">
        <f>C47/$D$36*100</f>
        <v>6.3454317897371713</v>
      </c>
      <c r="C47">
        <f>SUM(C38:C43)</f>
        <v>4056</v>
      </c>
    </row>
    <row r="48" spans="1:7" ht="12.75" customHeight="1" x14ac:dyDescent="0.3">
      <c r="A48" t="s">
        <v>17</v>
      </c>
      <c r="B48" s="3">
        <f>C48/$D$36*100</f>
        <v>5.9449311639549432E-2</v>
      </c>
      <c r="C48">
        <v>38</v>
      </c>
    </row>
    <row r="51" spans="1:5" ht="12.75" customHeight="1" x14ac:dyDescent="0.3">
      <c r="B51" s="13">
        <f>1.6+2.3+0.3+0.5+1.5+1.5</f>
        <v>7.7</v>
      </c>
    </row>
    <row r="52" spans="1:5" ht="12.75" customHeight="1" x14ac:dyDescent="0.3">
      <c r="B52" s="9"/>
      <c r="E52">
        <f>92.3+7.6</f>
        <v>99.899999999999991</v>
      </c>
    </row>
    <row r="53" spans="1:5" ht="12.75" customHeight="1" x14ac:dyDescent="0.3">
      <c r="B53" s="9"/>
    </row>
    <row r="54" spans="1:5" ht="12.75" customHeight="1" x14ac:dyDescent="0.3">
      <c r="B54" s="9"/>
    </row>
    <row r="55" spans="1:5" ht="12.75" customHeight="1" x14ac:dyDescent="0.3">
      <c r="B55" s="12"/>
    </row>
    <row r="56" spans="1:5" ht="12.75" customHeight="1" x14ac:dyDescent="0.3">
      <c r="B56" s="12">
        <f>1.6+2.3+0.3+0.5+1.4+1.5</f>
        <v>7.6</v>
      </c>
    </row>
    <row r="57" spans="1:5" ht="12.75" customHeight="1" x14ac:dyDescent="0.3">
      <c r="B57" s="9"/>
    </row>
    <row r="64" spans="1:5" s="7" customFormat="1" ht="17.399999999999999" customHeight="1" x14ac:dyDescent="0.3">
      <c r="A64" s="6" t="s">
        <v>14</v>
      </c>
    </row>
  </sheetData>
  <mergeCells count="2">
    <mergeCell ref="C12:D12"/>
    <mergeCell ref="A36:C36"/>
  </mergeCells>
  <printOptions horizontalCentered="1"/>
  <pageMargins left="0.74803149606299213" right="0.74803149606299213" top="0.98425196850393704" bottom="0.98425196850393704" header="0" footer="0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"/>
  <sheetViews>
    <sheetView topLeftCell="A9" zoomScaleNormal="100" zoomScaleSheetLayoutView="100" workbookViewId="0">
      <selection activeCell="N1" sqref="N1"/>
    </sheetView>
  </sheetViews>
  <sheetFormatPr defaultColWidth="11.5546875" defaultRowHeight="12.75" customHeight="1" x14ac:dyDescent="0.3"/>
  <cols>
    <col min="1" max="1" width="16.109375" customWidth="1"/>
    <col min="2" max="2" width="10.6640625" customWidth="1"/>
    <col min="3" max="3" width="8.109375" customWidth="1"/>
    <col min="4" max="4" width="13.33203125" customWidth="1"/>
    <col min="5" max="10" width="10.6640625" customWidth="1"/>
  </cols>
  <sheetData>
    <row r="1" spans="2:11" ht="12.75" customHeight="1" x14ac:dyDescent="0.3">
      <c r="E1" s="16">
        <v>2022</v>
      </c>
    </row>
    <row r="2" spans="2:11" ht="12.75" customHeight="1" x14ac:dyDescent="0.3">
      <c r="B2" s="2"/>
      <c r="D2" t="s">
        <v>7</v>
      </c>
      <c r="E2" s="2">
        <v>9531</v>
      </c>
    </row>
    <row r="3" spans="2:11" ht="12.75" customHeight="1" x14ac:dyDescent="0.3">
      <c r="B3" s="2"/>
      <c r="D3" t="s">
        <v>8</v>
      </c>
      <c r="E3" s="2">
        <v>17580</v>
      </c>
    </row>
    <row r="4" spans="2:11" ht="12.75" customHeight="1" x14ac:dyDescent="0.3">
      <c r="B4" s="2"/>
      <c r="D4" t="s">
        <v>9</v>
      </c>
      <c r="E4" s="2">
        <v>15899</v>
      </c>
    </row>
    <row r="5" spans="2:11" ht="12.75" customHeight="1" x14ac:dyDescent="0.3">
      <c r="B5" s="2"/>
      <c r="D5" t="s">
        <v>10</v>
      </c>
      <c r="E5" s="2">
        <v>12000</v>
      </c>
    </row>
    <row r="6" spans="2:11" ht="12.75" customHeight="1" x14ac:dyDescent="0.3">
      <c r="B6" s="2"/>
      <c r="D6" t="s">
        <v>11</v>
      </c>
      <c r="E6" s="2">
        <v>6837</v>
      </c>
    </row>
    <row r="7" spans="2:11" ht="12.75" customHeight="1" x14ac:dyDescent="0.3">
      <c r="B7" s="2"/>
      <c r="D7" t="s">
        <v>12</v>
      </c>
      <c r="E7" s="2">
        <v>1893</v>
      </c>
    </row>
    <row r="8" spans="2:11" ht="12.75" customHeight="1" x14ac:dyDescent="0.3">
      <c r="B8" s="2"/>
      <c r="D8" t="s">
        <v>13</v>
      </c>
      <c r="E8" s="2">
        <v>132</v>
      </c>
    </row>
    <row r="9" spans="2:11" ht="12.75" customHeight="1" x14ac:dyDescent="0.3">
      <c r="B9" s="2"/>
      <c r="D9" t="s">
        <v>0</v>
      </c>
      <c r="E9" s="2">
        <v>9</v>
      </c>
    </row>
    <row r="10" spans="2:11" ht="12.75" customHeight="1" x14ac:dyDescent="0.3">
      <c r="B10" s="2"/>
    </row>
    <row r="11" spans="2:11" ht="12.75" customHeight="1" x14ac:dyDescent="0.3">
      <c r="B11" s="2"/>
      <c r="E11" s="2">
        <f>SUM(E2:E10)</f>
        <v>63881</v>
      </c>
      <c r="F11" s="2"/>
    </row>
    <row r="12" spans="2:11" ht="12.75" customHeight="1" x14ac:dyDescent="0.3">
      <c r="B12" s="2"/>
      <c r="C12" s="18" t="s">
        <v>15</v>
      </c>
      <c r="D12" s="18"/>
      <c r="E12" s="2">
        <v>39</v>
      </c>
    </row>
    <row r="13" spans="2:11" ht="12.75" customHeight="1" x14ac:dyDescent="0.3">
      <c r="B13" s="2"/>
      <c r="E13" s="2">
        <f>SUM(E11:E12)</f>
        <v>63920</v>
      </c>
      <c r="F13" s="2"/>
      <c r="K13" s="3"/>
    </row>
    <row r="14" spans="2:11" ht="12.75" customHeight="1" x14ac:dyDescent="0.3">
      <c r="B14" s="2"/>
    </row>
    <row r="25" spans="1:1" ht="12.75" customHeight="1" x14ac:dyDescent="0.3">
      <c r="A25" s="1"/>
    </row>
    <row r="32" spans="1:1" s="7" customFormat="1" ht="16.2" customHeight="1" x14ac:dyDescent="0.3">
      <c r="A32" s="6" t="s">
        <v>19</v>
      </c>
    </row>
    <row r="36" spans="1:7" ht="12.75" customHeight="1" x14ac:dyDescent="0.3">
      <c r="A36" s="18" t="s">
        <v>20</v>
      </c>
      <c r="B36" s="18"/>
      <c r="C36" s="18"/>
      <c r="D36" s="5">
        <f>SUM(C38:C44,C48)+C46</f>
        <v>63920</v>
      </c>
    </row>
    <row r="37" spans="1:7" ht="12.75" customHeight="1" x14ac:dyDescent="0.3">
      <c r="F37" s="8"/>
      <c r="G37" s="3"/>
    </row>
    <row r="38" spans="1:7" ht="12.75" customHeight="1" x14ac:dyDescent="0.3">
      <c r="A38" t="s">
        <v>1</v>
      </c>
      <c r="B38" s="3">
        <f>C38/$D$36*100</f>
        <v>0.22058823529411764</v>
      </c>
      <c r="C38">
        <v>141</v>
      </c>
      <c r="D38" s="10"/>
      <c r="F38" s="8"/>
    </row>
    <row r="39" spans="1:7" ht="12.75" customHeight="1" x14ac:dyDescent="0.3">
      <c r="A39" t="s">
        <v>2</v>
      </c>
      <c r="B39" s="3">
        <f t="shared" ref="B39:B44" si="0">C39/$D$36*100</f>
        <v>0.41301627033792243</v>
      </c>
      <c r="C39">
        <v>264</v>
      </c>
      <c r="D39" s="10"/>
      <c r="F39" s="8"/>
    </row>
    <row r="40" spans="1:7" ht="12.75" customHeight="1" x14ac:dyDescent="0.3">
      <c r="A40" t="s">
        <v>22</v>
      </c>
      <c r="B40" s="3">
        <f t="shared" si="0"/>
        <v>1.4111389236545682</v>
      </c>
      <c r="C40">
        <v>902</v>
      </c>
      <c r="D40" s="10"/>
      <c r="F40" s="3"/>
    </row>
    <row r="41" spans="1:7" ht="12.75" customHeight="1" x14ac:dyDescent="0.3">
      <c r="A41" t="s">
        <v>4</v>
      </c>
      <c r="B41" s="3">
        <f t="shared" si="0"/>
        <v>1.2140175219023779</v>
      </c>
      <c r="C41">
        <v>776</v>
      </c>
      <c r="D41" s="10"/>
      <c r="F41" s="8"/>
    </row>
    <row r="42" spans="1:7" ht="12.75" customHeight="1" x14ac:dyDescent="0.3">
      <c r="A42" t="s">
        <v>5</v>
      </c>
      <c r="B42" s="3">
        <f>C42/$D$36*100</f>
        <v>1.4064455569461827</v>
      </c>
      <c r="C42">
        <v>899</v>
      </c>
      <c r="D42" s="10"/>
      <c r="F42" s="8"/>
    </row>
    <row r="43" spans="1:7" ht="12.75" customHeight="1" x14ac:dyDescent="0.3">
      <c r="A43" t="s">
        <v>3</v>
      </c>
      <c r="B43" s="3">
        <f t="shared" si="0"/>
        <v>1.6802252816020027</v>
      </c>
      <c r="C43">
        <v>1074</v>
      </c>
      <c r="D43" s="10"/>
      <c r="F43" s="8"/>
    </row>
    <row r="44" spans="1:7" ht="12.75" customHeight="1" x14ac:dyDescent="0.3">
      <c r="A44" t="s">
        <v>6</v>
      </c>
      <c r="B44" s="3">
        <f t="shared" si="0"/>
        <v>93.556007509386731</v>
      </c>
      <c r="C44">
        <v>59801</v>
      </c>
      <c r="D44" s="11"/>
      <c r="F44" s="3"/>
    </row>
    <row r="45" spans="1:7" ht="12.75" customHeight="1" x14ac:dyDescent="0.3">
      <c r="B45" s="3"/>
      <c r="D45" s="4"/>
      <c r="F45" s="3"/>
    </row>
    <row r="46" spans="1:7" ht="12.75" customHeight="1" x14ac:dyDescent="0.3">
      <c r="A46" s="14" t="s">
        <v>16</v>
      </c>
      <c r="B46" s="15">
        <f>C46/$D$36*100</f>
        <v>3.9111389236545682E-2</v>
      </c>
      <c r="C46" s="14">
        <v>25</v>
      </c>
    </row>
    <row r="47" spans="1:7" ht="12.75" customHeight="1" x14ac:dyDescent="0.3">
      <c r="A47" t="s">
        <v>18</v>
      </c>
      <c r="B47" s="3">
        <f>C47/$D$36*100</f>
        <v>6.3454317897371713</v>
      </c>
      <c r="C47">
        <f>SUM(C38:C43)</f>
        <v>4056</v>
      </c>
    </row>
    <row r="48" spans="1:7" ht="12.75" customHeight="1" x14ac:dyDescent="0.3">
      <c r="A48" t="s">
        <v>17</v>
      </c>
      <c r="B48" s="3">
        <f>C48/$D$36*100</f>
        <v>5.9449311639549432E-2</v>
      </c>
      <c r="C48">
        <v>38</v>
      </c>
    </row>
    <row r="51" spans="1:5" ht="12.75" customHeight="1" x14ac:dyDescent="0.3">
      <c r="B51" s="13">
        <f>1.6+2.3+0.3+0.5+1.5+1.5</f>
        <v>7.7</v>
      </c>
    </row>
    <row r="52" spans="1:5" ht="12.75" customHeight="1" x14ac:dyDescent="0.3">
      <c r="B52" s="9"/>
      <c r="E52">
        <f>92.3+7.6</f>
        <v>99.899999999999991</v>
      </c>
    </row>
    <row r="53" spans="1:5" ht="12.75" customHeight="1" x14ac:dyDescent="0.3">
      <c r="B53" s="9"/>
    </row>
    <row r="54" spans="1:5" ht="12.75" customHeight="1" x14ac:dyDescent="0.3">
      <c r="B54" s="9"/>
    </row>
    <row r="55" spans="1:5" ht="12.75" customHeight="1" x14ac:dyDescent="0.3">
      <c r="B55" s="12"/>
    </row>
    <row r="56" spans="1:5" ht="12.75" customHeight="1" x14ac:dyDescent="0.3">
      <c r="B56" s="12">
        <f>1.6+2.3+0.3+0.5+1.4+1.5</f>
        <v>7.6</v>
      </c>
    </row>
    <row r="57" spans="1:5" ht="12.75" customHeight="1" x14ac:dyDescent="0.3">
      <c r="B57" s="9"/>
    </row>
    <row r="64" spans="1:5" s="7" customFormat="1" ht="17.399999999999999" customHeight="1" x14ac:dyDescent="0.3">
      <c r="A64" s="6" t="s">
        <v>14</v>
      </c>
    </row>
  </sheetData>
  <mergeCells count="2">
    <mergeCell ref="C12:D12"/>
    <mergeCell ref="A36:C36"/>
  </mergeCells>
  <printOptions horizontalCentered="1"/>
  <pageMargins left="0.74803149606299213" right="0.74803149606299213" top="0.98425196850393704" bottom="0.98425196850393704" header="0" footer="0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Grafica 5 y 6 color</vt:lpstr>
      <vt:lpstr>Grafica 5 y 6 color sin relleno</vt:lpstr>
      <vt:lpstr>Grafica 5 y 6 color Blanco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L. RODRIGUEZ</dc:creator>
  <cp:lastModifiedBy>Ana Paula Castro</cp:lastModifiedBy>
  <cp:lastPrinted>2023-12-29T17:51:32Z</cp:lastPrinted>
  <dcterms:created xsi:type="dcterms:W3CDTF">2016-08-22T21:03:40Z</dcterms:created>
  <dcterms:modified xsi:type="dcterms:W3CDTF">2025-02-09T20:49:24Z</dcterms:modified>
</cp:coreProperties>
</file>